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der/Desktop/R Projects/ML_Project/"/>
    </mc:Choice>
  </mc:AlternateContent>
  <xr:revisionPtr revIDLastSave="0" documentId="13_ncr:1_{E651FED3-55D4-CA4A-9FD4-99E9BC0457B5}" xr6:coauthVersionLast="47" xr6:coauthVersionMax="47" xr10:uidLastSave="{00000000-0000-0000-0000-000000000000}"/>
  <bookViews>
    <workbookView xWindow="0" yWindow="600" windowWidth="28800" windowHeight="15800" xr2:uid="{0F5EB299-F313-4847-BA78-3D2D62612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9" i="1"/>
  <c r="E47" i="1"/>
  <c r="E43" i="1"/>
  <c r="E44" i="1"/>
  <c r="E45" i="1"/>
  <c r="E46" i="1"/>
  <c r="E42" i="1"/>
  <c r="E40" i="1"/>
  <c r="E41" i="1"/>
  <c r="E39" i="1"/>
  <c r="E35" i="1"/>
  <c r="E36" i="1"/>
  <c r="E37" i="1"/>
  <c r="E38" i="1"/>
  <c r="E34" i="1"/>
  <c r="E28" i="1"/>
  <c r="E29" i="1"/>
  <c r="E30" i="1"/>
  <c r="E31" i="1"/>
  <c r="E32" i="1"/>
  <c r="E33" i="1"/>
  <c r="E27" i="1"/>
  <c r="E22" i="1"/>
  <c r="E23" i="1"/>
  <c r="E24" i="1"/>
  <c r="E25" i="1"/>
  <c r="E26" i="1"/>
  <c r="E21" i="1"/>
  <c r="E13" i="1"/>
  <c r="E14" i="1"/>
  <c r="E15" i="1"/>
  <c r="E16" i="1"/>
  <c r="E17" i="1"/>
  <c r="E18" i="1"/>
  <c r="E19" i="1"/>
  <c r="E20" i="1"/>
  <c r="E12" i="1"/>
  <c r="E10" i="1"/>
  <c r="E11" i="1"/>
  <c r="E9" i="1"/>
  <c r="E6" i="1"/>
  <c r="E7" i="1"/>
  <c r="E8" i="1"/>
  <c r="E5" i="1"/>
</calcChain>
</file>

<file path=xl/sharedStrings.xml><?xml version="1.0" encoding="utf-8"?>
<sst xmlns="http://schemas.openxmlformats.org/spreadsheetml/2006/main" count="101" uniqueCount="61">
  <si>
    <t>D</t>
  </si>
  <si>
    <t>E</t>
  </si>
  <si>
    <t>A</t>
  </si>
  <si>
    <t>B</t>
  </si>
  <si>
    <t>C</t>
  </si>
  <si>
    <t>F</t>
  </si>
  <si>
    <t>G</t>
  </si>
  <si>
    <t>epc_rating_band</t>
  </si>
  <si>
    <t>Urban</t>
  </si>
  <si>
    <t>Semi-rural</t>
  </si>
  <si>
    <t>Rural</t>
  </si>
  <si>
    <t>urban_rural_simplified</t>
  </si>
  <si>
    <t>North East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</si>
  <si>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</si>
  <si>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</si>
  <si>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</si>
  <si>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</si>
  <si>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</si>
  <si>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</si>
  <si>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</si>
  <si>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</si>
  <si>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t>region_name</t>
  </si>
  <si>
    <t>probability</t>
  </si>
  <si>
    <t>Converted flat</t>
  </si>
  <si>
    <t>Detached</t>
  </si>
  <si>
    <t>End terrace</t>
  </si>
  <si>
    <t>Mid terrace</t>
  </si>
  <si>
    <t>Purpose-built flat</t>
  </si>
  <si>
    <t>Semi-detached</t>
  </si>
  <si>
    <t>dwelling_type_mapped</t>
  </si>
  <si>
    <t>Pre 1919</t>
  </si>
  <si>
    <t>1919 to 1944</t>
  </si>
  <si>
    <t>1945 to 1964</t>
  </si>
  <si>
    <t>1965 to 1980</t>
  </si>
  <si>
    <t>1981 to 1990</t>
  </si>
  <si>
    <t>1991 to 2002</t>
  </si>
  <si>
    <t>Post 2002</t>
  </si>
  <si>
    <t>dwelling_age_mapped</t>
  </si>
  <si>
    <t>Less than 50 sqm</t>
  </si>
  <si>
    <t>50 to 69 sqm</t>
  </si>
  <si>
    <t>70 to 89 sqm</t>
  </si>
  <si>
    <t>90 to 109 sqm</t>
  </si>
  <si>
    <t>110 sqm or more</t>
  </si>
  <si>
    <t>Gas</t>
  </si>
  <si>
    <t>Electricity</t>
  </si>
  <si>
    <t>Other</t>
  </si>
  <si>
    <t>fuel_category</t>
  </si>
  <si>
    <t>Cavity uninsulated</t>
  </si>
  <si>
    <t>Cavity with insulation</t>
  </si>
  <si>
    <t>Solid uninsulated</t>
  </si>
  <si>
    <t>Solid with insulation</t>
  </si>
  <si>
    <t>wall_insulation_cat</t>
  </si>
  <si>
    <t>Owner occupied</t>
  </si>
  <si>
    <t>Private rented</t>
  </si>
  <si>
    <t>Social housing</t>
  </si>
  <si>
    <t>tenure_cat</t>
  </si>
  <si>
    <t>gap</t>
  </si>
  <si>
    <t>severity_adjusted_probability</t>
  </si>
  <si>
    <t>feature_value</t>
  </si>
  <si>
    <t>feature</t>
  </si>
  <si>
    <t>total_floor_area_bin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</si>
</sst>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/>
    <xf numFmtId="164" fontId="2" fillId="0" borderId="2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3417-9200-694E-AE86-D56DC2C09FA1}">
  <dimension ref="A1:E49"/>
  <sheetViews>
    <sheetView tabSelected="1" topLeftCell="A2" workbookViewId="0">
      <selection activeCell="E4" sqref="E4"/>
    </sheetView>
  </sheetViews>
  <sheetFormatPr baseColWidth="10" defaultRowHeight="16" x14ac:dyDescent="0.2"/>
  <cols>
    <col min="1" max="1" width="14.5" bestFit="1" customWidth="1"/>
    <col min="5" max="5" width="13" bestFit="1" customWidth="1"/>
  </cols>
  <sheetData>
    <row r="1" spans="1:5" x14ac:dyDescent="0.2">
      <c r="A1" t="s">
        <v>59</v>
      </c>
      <c r="B1" t="s">
        <v>58</v>
      </c>
      <c r="C1" t="s">
        <v>22</v>
      </c>
      <c r="D1" t="s">
        <v>56</v>
      </c>
      <c r="E1" t="s">
        <v>57</v>
      </c>
    </row>
    <row r="2" spans="1:5" x14ac:dyDescent="0.2">
      <c r="A2" t="s">
        <v>7</v>
      </c>
      <c r="B2" t="s">
        <v>2</v>
      </c>
      <c r="C2">
        <v>0</v>
      </c>
      <c r="D2">
        <v>0</v>
      </c>
      <c r="E2">
        <v>1E-3</v>
      </c>
    </row>
    <row r="3" spans="1:5" x14ac:dyDescent="0.2">
      <c r="A3" t="s">
        <v>7</v>
      </c>
      <c r="B3" t="s">
        <v>3</v>
      </c>
      <c r="C3">
        <v>0</v>
      </c>
      <c r="D3">
        <v>0</v>
      </c>
      <c r="E3">
        <v>1E-3</v>
      </c>
    </row>
    <row r="4" spans="1:5" x14ac:dyDescent="0.2">
      <c r="A4" t="s">
        <v>7</v>
      </c>
      <c r="B4" t="s">
        <v>4</v>
      </c>
      <c r="C4">
        <v>0</v>
      </c>
      <c r="D4">
        <v>0</v>
      </c>
      <c r="E4">
        <v>1E-3</v>
      </c>
    </row>
    <row r="5" spans="1:5" x14ac:dyDescent="0.2">
      <c r="A5" t="s">
        <v>7</v>
      </c>
      <c r="B5" t="s">
        <v>0</v>
      </c>
      <c r="C5">
        <v>25.579000000000001</v>
      </c>
      <c r="D5" s="1">
        <v>242</v>
      </c>
      <c r="E5" s="5">
        <f>(C5/100)*(D5/(MAX($D$2:$D$8)))</f>
        <v>3.4180662617338486E-2</v>
      </c>
    </row>
    <row r="6" spans="1:5" x14ac:dyDescent="0.2">
      <c r="A6" t="s">
        <v>7</v>
      </c>
      <c r="B6" t="s">
        <v>1</v>
      </c>
      <c r="C6">
        <v>20.571000000000002</v>
      </c>
      <c r="D6" s="1">
        <v>897</v>
      </c>
      <c r="E6" s="5">
        <f t="shared" ref="E6:E8" si="0">(C6/100)*(D6/(MAX($D$2:$D$8)))</f>
        <v>0.10188949199337383</v>
      </c>
    </row>
    <row r="7" spans="1:5" x14ac:dyDescent="0.2">
      <c r="A7" t="s">
        <v>7</v>
      </c>
      <c r="B7" t="s">
        <v>5</v>
      </c>
      <c r="C7">
        <v>30.652999999999999</v>
      </c>
      <c r="D7" s="1">
        <v>1811</v>
      </c>
      <c r="E7" s="5">
        <f t="shared" si="0"/>
        <v>0.30652999999999997</v>
      </c>
    </row>
    <row r="8" spans="1:5" x14ac:dyDescent="0.2">
      <c r="A8" t="s">
        <v>7</v>
      </c>
      <c r="B8" t="s">
        <v>6</v>
      </c>
      <c r="C8">
        <v>30.652999999999999</v>
      </c>
      <c r="D8" s="1">
        <v>1811</v>
      </c>
      <c r="E8" s="5">
        <f t="shared" si="0"/>
        <v>0.30652999999999997</v>
      </c>
    </row>
    <row r="9" spans="1:5" x14ac:dyDescent="0.2">
      <c r="A9" t="s">
        <v>11</v>
      </c>
      <c r="B9" t="s">
        <v>8</v>
      </c>
      <c r="C9">
        <v>10.967000000000001</v>
      </c>
      <c r="D9" s="2">
        <v>346</v>
      </c>
      <c r="E9" s="5">
        <f>(C9/100)*(D9/(MAX($D$9:$D$11)))</f>
        <v>3.844561296859169E-2</v>
      </c>
    </row>
    <row r="10" spans="1:5" x14ac:dyDescent="0.2">
      <c r="A10" t="s">
        <v>11</v>
      </c>
      <c r="B10" t="s">
        <v>9</v>
      </c>
      <c r="C10">
        <v>10.635</v>
      </c>
      <c r="D10" s="3">
        <v>356</v>
      </c>
      <c r="E10" s="5">
        <f t="shared" ref="E10:E11" si="1">(C10/100)*(D10/(MAX($D$9:$D$11)))</f>
        <v>3.835927051671733E-2</v>
      </c>
    </row>
    <row r="11" spans="1:5" x14ac:dyDescent="0.2">
      <c r="A11" t="s">
        <v>11</v>
      </c>
      <c r="B11" t="s">
        <v>10</v>
      </c>
      <c r="C11">
        <v>12.33</v>
      </c>
      <c r="D11" s="3">
        <v>987</v>
      </c>
      <c r="E11" s="5">
        <f t="shared" si="1"/>
        <v>0.12330000000000001</v>
      </c>
    </row>
    <row r="12" spans="1:5" x14ac:dyDescent="0.2">
      <c r="A12" t="s">
        <v>21</v>
      </c>
      <c r="B12" t="s">
        <v>12</v>
      </c>
      <c r="C12">
        <v>10.055</v>
      </c>
      <c r="D12" s="2">
        <v>289</v>
      </c>
      <c r="E12" s="5">
        <f>(C12/100)*(D12/(MAX($D$12:$D$20)))</f>
        <v>5.0449565972222228E-2</v>
      </c>
    </row>
    <row r="13" spans="1:5" x14ac:dyDescent="0.2">
      <c r="A13" t="s">
        <v>21</v>
      </c>
      <c r="B13" t="s">
        <v>13</v>
      </c>
      <c r="C13">
        <v>11.590999999999999</v>
      </c>
      <c r="D13" s="3">
        <v>404</v>
      </c>
      <c r="E13" s="5">
        <f t="shared" ref="E13:E20" si="2">(C13/100)*(D13/(MAX($D$12:$D$20)))</f>
        <v>8.1297986111111109E-2</v>
      </c>
    </row>
    <row r="14" spans="1:5" x14ac:dyDescent="0.2">
      <c r="A14" t="s">
        <v>21</v>
      </c>
      <c r="B14" t="s">
        <v>14</v>
      </c>
      <c r="C14">
        <v>14.189</v>
      </c>
      <c r="D14" s="3">
        <v>417</v>
      </c>
      <c r="E14" s="5">
        <f t="shared" si="2"/>
        <v>0.10272244791666667</v>
      </c>
    </row>
    <row r="15" spans="1:5" x14ac:dyDescent="0.2">
      <c r="A15" t="s">
        <v>21</v>
      </c>
      <c r="B15" t="s">
        <v>15</v>
      </c>
      <c r="C15">
        <v>10.901</v>
      </c>
      <c r="D15" s="3">
        <v>327</v>
      </c>
      <c r="E15" s="5">
        <f t="shared" si="2"/>
        <v>6.1885885416666668E-2</v>
      </c>
    </row>
    <row r="16" spans="1:5" x14ac:dyDescent="0.2">
      <c r="A16" t="s">
        <v>21</v>
      </c>
      <c r="B16" t="s">
        <v>16</v>
      </c>
      <c r="C16">
        <v>16.436</v>
      </c>
      <c r="D16" s="3">
        <v>385</v>
      </c>
      <c r="E16" s="5">
        <f t="shared" si="2"/>
        <v>0.10985868055555556</v>
      </c>
    </row>
    <row r="17" spans="1:5" x14ac:dyDescent="0.2">
      <c r="A17" t="s">
        <v>21</v>
      </c>
      <c r="B17" t="s">
        <v>17</v>
      </c>
      <c r="C17">
        <v>8.9760000000000009</v>
      </c>
      <c r="D17" s="3">
        <v>512</v>
      </c>
      <c r="E17" s="5">
        <f t="shared" si="2"/>
        <v>7.9786666666666672E-2</v>
      </c>
    </row>
    <row r="18" spans="1:5" x14ac:dyDescent="0.2">
      <c r="A18" t="s">
        <v>21</v>
      </c>
      <c r="B18" t="s">
        <v>18</v>
      </c>
      <c r="C18">
        <v>9.359</v>
      </c>
      <c r="D18" s="3">
        <v>298</v>
      </c>
      <c r="E18" s="5">
        <f t="shared" si="2"/>
        <v>4.8419826388888899E-2</v>
      </c>
    </row>
    <row r="19" spans="1:5" x14ac:dyDescent="0.2">
      <c r="A19" t="s">
        <v>21</v>
      </c>
      <c r="B19" t="s">
        <v>19</v>
      </c>
      <c r="C19">
        <v>9.3699999999999992</v>
      </c>
      <c r="D19" s="3">
        <v>427</v>
      </c>
      <c r="E19" s="5">
        <f t="shared" si="2"/>
        <v>6.9461631944444435E-2</v>
      </c>
    </row>
    <row r="20" spans="1:5" x14ac:dyDescent="0.2">
      <c r="A20" t="s">
        <v>21</v>
      </c>
      <c r="B20" t="s">
        <v>20</v>
      </c>
      <c r="C20">
        <v>10.141999999999999</v>
      </c>
      <c r="D20" s="3">
        <v>576</v>
      </c>
      <c r="E20" s="5">
        <f t="shared" si="2"/>
        <v>0.10142</v>
      </c>
    </row>
    <row r="21" spans="1:5" x14ac:dyDescent="0.2">
      <c r="A21" t="s">
        <v>29</v>
      </c>
      <c r="B21" t="s">
        <v>23</v>
      </c>
      <c r="C21">
        <v>18.78</v>
      </c>
      <c r="D21" s="2">
        <v>516</v>
      </c>
      <c r="E21" s="5">
        <f>(C21/100)*(D21/(MAX($D$21:$D$26)))</f>
        <v>0.16480408163265309</v>
      </c>
    </row>
    <row r="22" spans="1:5" x14ac:dyDescent="0.2">
      <c r="A22" t="s">
        <v>29</v>
      </c>
      <c r="B22" t="s">
        <v>24</v>
      </c>
      <c r="C22">
        <v>7.3310000000000004</v>
      </c>
      <c r="D22" s="3">
        <v>588</v>
      </c>
      <c r="E22" s="5">
        <f t="shared" ref="E22:E26" si="3">(C22/100)*(D22/(MAX($D$21:$D$26)))</f>
        <v>7.331E-2</v>
      </c>
    </row>
    <row r="23" spans="1:5" x14ac:dyDescent="0.2">
      <c r="A23" t="s">
        <v>29</v>
      </c>
      <c r="B23" t="s">
        <v>25</v>
      </c>
      <c r="C23">
        <v>17.518000000000001</v>
      </c>
      <c r="D23" s="3">
        <v>409</v>
      </c>
      <c r="E23" s="5">
        <f t="shared" si="3"/>
        <v>0.12185139455782314</v>
      </c>
    </row>
    <row r="24" spans="1:5" x14ac:dyDescent="0.2">
      <c r="A24" t="s">
        <v>29</v>
      </c>
      <c r="B24" t="s">
        <v>26</v>
      </c>
      <c r="C24">
        <v>12.654999999999999</v>
      </c>
      <c r="D24" s="3">
        <v>326</v>
      </c>
      <c r="E24" s="5">
        <f t="shared" si="3"/>
        <v>7.0162074829931961E-2</v>
      </c>
    </row>
    <row r="25" spans="1:5" x14ac:dyDescent="0.2">
      <c r="A25" t="s">
        <v>29</v>
      </c>
      <c r="B25" t="s">
        <v>27</v>
      </c>
      <c r="C25">
        <v>7.9870000000000001</v>
      </c>
      <c r="D25" s="3">
        <v>357</v>
      </c>
      <c r="E25" s="5">
        <f t="shared" si="3"/>
        <v>4.8492499999999994E-2</v>
      </c>
    </row>
    <row r="26" spans="1:5" x14ac:dyDescent="0.2">
      <c r="A26" t="s">
        <v>29</v>
      </c>
      <c r="B26" t="s">
        <v>28</v>
      </c>
      <c r="C26">
        <v>11.441000000000001</v>
      </c>
      <c r="D26" s="3">
        <v>374</v>
      </c>
      <c r="E26" s="5">
        <f t="shared" si="3"/>
        <v>7.2770986394557841E-2</v>
      </c>
    </row>
    <row r="27" spans="1:5" x14ac:dyDescent="0.2">
      <c r="A27" t="s">
        <v>37</v>
      </c>
      <c r="B27" t="s">
        <v>30</v>
      </c>
      <c r="C27">
        <v>17.114000000000001</v>
      </c>
      <c r="D27" s="2">
        <v>612</v>
      </c>
      <c r="E27" s="5">
        <f>(C27/100)*(D27/(MAX($D$27:$D$33)))</f>
        <v>0.17114000000000001</v>
      </c>
    </row>
    <row r="28" spans="1:5" x14ac:dyDescent="0.2">
      <c r="A28" t="s">
        <v>37</v>
      </c>
      <c r="B28" t="s">
        <v>31</v>
      </c>
      <c r="C28">
        <v>14.276</v>
      </c>
      <c r="D28" s="3">
        <v>295</v>
      </c>
      <c r="E28" s="5">
        <f t="shared" ref="E28:E33" si="4">(C28/100)*(D28/(MAX($D$27:$D$33)))</f>
        <v>6.8814052287581695E-2</v>
      </c>
    </row>
    <row r="29" spans="1:5" x14ac:dyDescent="0.2">
      <c r="A29" t="s">
        <v>37</v>
      </c>
      <c r="B29" t="s">
        <v>32</v>
      </c>
      <c r="C29">
        <v>13.448</v>
      </c>
      <c r="D29" s="3">
        <v>330</v>
      </c>
      <c r="E29" s="5">
        <f t="shared" si="4"/>
        <v>7.2513725490196079E-2</v>
      </c>
    </row>
    <row r="30" spans="1:5" x14ac:dyDescent="0.2">
      <c r="A30" t="s">
        <v>37</v>
      </c>
      <c r="B30" t="s">
        <v>33</v>
      </c>
      <c r="C30">
        <v>11.515000000000001</v>
      </c>
      <c r="D30" s="3">
        <v>338</v>
      </c>
      <c r="E30" s="5">
        <f t="shared" si="4"/>
        <v>6.3595915032679751E-2</v>
      </c>
    </row>
    <row r="31" spans="1:5" x14ac:dyDescent="0.2">
      <c r="A31" t="s">
        <v>37</v>
      </c>
      <c r="B31" t="s">
        <v>34</v>
      </c>
      <c r="C31">
        <v>6.7460000000000004</v>
      </c>
      <c r="D31" s="3">
        <v>307</v>
      </c>
      <c r="E31" s="5">
        <f t="shared" si="4"/>
        <v>3.3840228758169937E-2</v>
      </c>
    </row>
    <row r="32" spans="1:5" x14ac:dyDescent="0.2">
      <c r="A32" t="s">
        <v>37</v>
      </c>
      <c r="B32" t="s">
        <v>35</v>
      </c>
      <c r="C32">
        <v>5.4050000000000002</v>
      </c>
      <c r="D32" s="3">
        <v>316</v>
      </c>
      <c r="E32" s="5">
        <f t="shared" si="4"/>
        <v>2.7908169934640525E-2</v>
      </c>
    </row>
    <row r="33" spans="1:5" x14ac:dyDescent="0.2">
      <c r="A33" t="s">
        <v>37</v>
      </c>
      <c r="B33" t="s">
        <v>36</v>
      </c>
      <c r="C33">
        <v>1.1000000000000001</v>
      </c>
      <c r="D33" s="4">
        <v>154</v>
      </c>
      <c r="E33" s="5">
        <f t="shared" si="4"/>
        <v>2.7679738562091504E-3</v>
      </c>
    </row>
    <row r="34" spans="1:5" x14ac:dyDescent="0.2">
      <c r="A34" t="s">
        <v>60</v>
      </c>
      <c r="B34" t="s">
        <v>38</v>
      </c>
      <c r="C34">
        <v>14.65</v>
      </c>
      <c r="D34" s="2">
        <v>344</v>
      </c>
      <c r="E34" s="5">
        <f>(C34/100)*(D34/(MAX($D$34:$D$38)))</f>
        <v>7.5443113772455078E-2</v>
      </c>
    </row>
    <row r="35" spans="1:5" x14ac:dyDescent="0.2">
      <c r="A35" t="s">
        <v>60</v>
      </c>
      <c r="B35" t="s">
        <v>39</v>
      </c>
      <c r="C35">
        <v>12.07</v>
      </c>
      <c r="D35" s="3">
        <v>319</v>
      </c>
      <c r="E35" s="5">
        <f t="shared" ref="E35:E38" si="5">(C35/100)*(D35/(MAX($D$34:$D$38)))</f>
        <v>5.763967065868264E-2</v>
      </c>
    </row>
    <row r="36" spans="1:5" x14ac:dyDescent="0.2">
      <c r="A36" t="s">
        <v>60</v>
      </c>
      <c r="B36" t="s">
        <v>40</v>
      </c>
      <c r="C36">
        <v>13.026</v>
      </c>
      <c r="D36" s="3">
        <v>380</v>
      </c>
      <c r="E36" s="5">
        <f t="shared" si="5"/>
        <v>7.4099999999999999E-2</v>
      </c>
    </row>
    <row r="37" spans="1:5" x14ac:dyDescent="0.2">
      <c r="A37" t="s">
        <v>60</v>
      </c>
      <c r="B37" t="s">
        <v>41</v>
      </c>
      <c r="C37">
        <v>10.689</v>
      </c>
      <c r="D37" s="3">
        <v>332</v>
      </c>
      <c r="E37" s="5">
        <f t="shared" si="5"/>
        <v>5.3124970059880233E-2</v>
      </c>
    </row>
    <row r="38" spans="1:5" x14ac:dyDescent="0.2">
      <c r="A38" t="s">
        <v>60</v>
      </c>
      <c r="B38" t="s">
        <v>42</v>
      </c>
      <c r="C38">
        <v>7.3869999999999996</v>
      </c>
      <c r="D38" s="3">
        <v>668</v>
      </c>
      <c r="E38" s="5">
        <f t="shared" si="5"/>
        <v>7.3869999999999991E-2</v>
      </c>
    </row>
    <row r="39" spans="1:5" x14ac:dyDescent="0.2">
      <c r="A39" t="s">
        <v>46</v>
      </c>
      <c r="B39" t="s">
        <v>43</v>
      </c>
      <c r="C39">
        <v>10.015000000000001</v>
      </c>
      <c r="D39" s="2">
        <v>288</v>
      </c>
      <c r="E39" s="5">
        <f>(C39/100)*(D39/(MAX($D$39:$D$41)))</f>
        <v>3.2227039106145251E-2</v>
      </c>
    </row>
    <row r="40" spans="1:5" x14ac:dyDescent="0.2">
      <c r="A40" t="s">
        <v>46</v>
      </c>
      <c r="B40" t="s">
        <v>44</v>
      </c>
      <c r="C40">
        <v>20.74</v>
      </c>
      <c r="D40" s="3">
        <v>780</v>
      </c>
      <c r="E40" s="5">
        <f t="shared" ref="E40:E41" si="6">(C40/100)*(D40/(MAX($D$39:$D$41)))</f>
        <v>0.1807508379888268</v>
      </c>
    </row>
    <row r="41" spans="1:5" x14ac:dyDescent="0.2">
      <c r="A41" t="s">
        <v>46</v>
      </c>
      <c r="B41" t="s">
        <v>45</v>
      </c>
      <c r="C41">
        <v>12.760999999999999</v>
      </c>
      <c r="D41" s="3">
        <v>895</v>
      </c>
      <c r="E41" s="5">
        <f t="shared" si="6"/>
        <v>0.12761</v>
      </c>
    </row>
    <row r="42" spans="1:5" x14ac:dyDescent="0.2">
      <c r="A42" t="s">
        <v>51</v>
      </c>
      <c r="B42" t="s">
        <v>47</v>
      </c>
      <c r="C42">
        <v>14.079000000000001</v>
      </c>
      <c r="D42" s="2">
        <v>359</v>
      </c>
      <c r="E42" s="5">
        <f>(C42/100)*(D42/(MAX($D$42:$D$46)))</f>
        <v>0.10028494047619048</v>
      </c>
    </row>
    <row r="43" spans="1:5" x14ac:dyDescent="0.2">
      <c r="A43" t="s">
        <v>51</v>
      </c>
      <c r="B43" t="s">
        <v>48</v>
      </c>
      <c r="C43">
        <v>6.5990000000000002</v>
      </c>
      <c r="D43" s="3">
        <v>307</v>
      </c>
      <c r="E43" s="5">
        <f t="shared" ref="E43:E46" si="7">(C43/100)*(D43/(MAX($D$42:$D$46)))</f>
        <v>4.0196289682539681E-2</v>
      </c>
    </row>
    <row r="44" spans="1:5" x14ac:dyDescent="0.2">
      <c r="A44" t="s">
        <v>51</v>
      </c>
      <c r="B44" t="s">
        <v>49</v>
      </c>
      <c r="C44">
        <v>18.675000000000001</v>
      </c>
      <c r="D44" s="3">
        <v>504</v>
      </c>
      <c r="E44" s="5">
        <f t="shared" si="7"/>
        <v>0.18675</v>
      </c>
    </row>
    <row r="45" spans="1:5" x14ac:dyDescent="0.2">
      <c r="A45" t="s">
        <v>51</v>
      </c>
      <c r="B45" t="s">
        <v>50</v>
      </c>
      <c r="C45">
        <v>9.5990000000000002</v>
      </c>
      <c r="D45" s="3">
        <v>475</v>
      </c>
      <c r="E45" s="5">
        <f t="shared" si="7"/>
        <v>9.0466765873015872E-2</v>
      </c>
    </row>
    <row r="46" spans="1:5" x14ac:dyDescent="0.2">
      <c r="A46" t="s">
        <v>51</v>
      </c>
      <c r="B46" t="s">
        <v>45</v>
      </c>
      <c r="C46">
        <v>2.4</v>
      </c>
      <c r="D46" s="4">
        <v>292</v>
      </c>
      <c r="E46" s="5">
        <f t="shared" si="7"/>
        <v>1.3904761904761906E-2</v>
      </c>
    </row>
    <row r="47" spans="1:5" x14ac:dyDescent="0.2">
      <c r="A47" t="s">
        <v>55</v>
      </c>
      <c r="B47" t="s">
        <v>52</v>
      </c>
      <c r="C47">
        <v>7.51</v>
      </c>
      <c r="D47" s="2">
        <v>472</v>
      </c>
      <c r="E47" s="5">
        <f>(C47/100)*(D47/(MAX($D$47:$D$49)))</f>
        <v>7.51E-2</v>
      </c>
    </row>
    <row r="48" spans="1:5" x14ac:dyDescent="0.2">
      <c r="A48" t="s">
        <v>55</v>
      </c>
      <c r="B48" t="s">
        <v>53</v>
      </c>
      <c r="C48">
        <v>21.481000000000002</v>
      </c>
      <c r="D48" s="3">
        <v>407</v>
      </c>
      <c r="E48" s="5">
        <f t="shared" ref="E48:E49" si="8">(C48/100)*(D48/(MAX($D$47:$D$49)))</f>
        <v>0.18522811440677969</v>
      </c>
    </row>
    <row r="49" spans="1:5" x14ac:dyDescent="0.2">
      <c r="A49" t="s">
        <v>55</v>
      </c>
      <c r="B49" t="s">
        <v>54</v>
      </c>
      <c r="C49">
        <v>13.141999999999999</v>
      </c>
      <c r="D49" s="3">
        <v>261</v>
      </c>
      <c r="E49" s="5">
        <f t="shared" si="8"/>
        <v>7.2670805084745743E-2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Hayder, K M Najib (PG/T - Surrey Business Schl)</dc:creator>
  <cp:lastModifiedBy>Najib Hayder</cp:lastModifiedBy>
  <dcterms:created xsi:type="dcterms:W3CDTF">2025-08-04T01:31:50Z</dcterms:created>
  <dcterms:modified xsi:type="dcterms:W3CDTF">2026-05-17T22:09:14Z</dcterms:modified>
</cp:coreProperties>
</file>